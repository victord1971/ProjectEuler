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x\2025\Python\ProjectEuler\p908\julia908\src\"/>
    </mc:Choice>
  </mc:AlternateContent>
  <xr:revisionPtr revIDLastSave="0" documentId="13_ncr:1_{AC921BA2-4896-484E-A09C-79325FD32B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Аркуш2" sheetId="2" r:id="rId1"/>
    <sheet name="Аркуш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 s="1"/>
  <c r="C8" i="1" s="1"/>
  <c r="C9" i="1" s="1"/>
  <c r="C10" i="1" s="1"/>
  <c r="C11" i="1" s="1"/>
  <c r="C12" i="1" s="1"/>
  <c r="C2" i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2" i="1"/>
  <c r="C14" i="2"/>
  <c r="C15" i="2"/>
  <c r="C16" i="2"/>
  <c r="D16" i="2"/>
  <c r="E14" i="2"/>
  <c r="E16" i="2"/>
  <c r="D14" i="2"/>
  <c r="E15" i="2"/>
  <c r="D15" i="2"/>
</calcChain>
</file>

<file path=xl/sharedStrings.xml><?xml version="1.0" encoding="utf-8"?>
<sst xmlns="http://schemas.openxmlformats.org/spreadsheetml/2006/main" count="5" uniqueCount="5">
  <si>
    <t>Часова шкала</t>
  </si>
  <si>
    <t>Значення</t>
  </si>
  <si>
    <t>Передбачення</t>
  </si>
  <si>
    <t>Нижня довірча границя</t>
  </si>
  <si>
    <t>Верхня довірча границя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</si>
</sst>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Аркуш2!$B$1</c:f>
              <c:strCache>
                <c:ptCount val="1"/>
                <c:pt idx="0">
                  <c:v>Значення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Аркуш2!$B$2:$B$16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17</c:v>
                </c:pt>
                <c:pt idx="5">
                  <c:v>31</c:v>
                </c:pt>
                <c:pt idx="6">
                  <c:v>60</c:v>
                </c:pt>
                <c:pt idx="7">
                  <c:v>122</c:v>
                </c:pt>
                <c:pt idx="8">
                  <c:v>268</c:v>
                </c:pt>
                <c:pt idx="9">
                  <c:v>561</c:v>
                </c:pt>
                <c:pt idx="10">
                  <c:v>1171</c:v>
                </c:pt>
                <c:pt idx="11">
                  <c:v>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F-456A-84D6-DFDD7E6BCEC7}"/>
            </c:ext>
          </c:extLst>
        </c:ser>
        <c:ser>
          <c:idx val="1"/>
          <c:order val="1"/>
          <c:tx>
            <c:strRef>
              <c:f>Аркуш2!$C$1</c:f>
              <c:strCache>
                <c:ptCount val="1"/>
                <c:pt idx="0">
                  <c:v>Передбачення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Аркуш2!$A$2:$A$16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Аркуш2!$C$2:$C$16</c:f>
              <c:numCache>
                <c:formatCode>General</c:formatCode>
                <c:ptCount val="15"/>
                <c:pt idx="11">
                  <c:v>2308</c:v>
                </c:pt>
                <c:pt idx="12">
                  <c:v>1473.4667366403901</c:v>
                </c:pt>
                <c:pt idx="13">
                  <c:v>1617.4074513718067</c:v>
                </c:pt>
                <c:pt idx="14">
                  <c:v>1761.3481661032231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F-456A-84D6-DFDD7E6BCEC7}"/>
            </c:ext>
          </c:extLst>
        </c:ser>
        <c:ser>
          <c:idx val="2"/>
          <c:order val="2"/>
          <c:tx>
            <c:strRef>
              <c:f>Аркуш2!$D$1</c:f>
              <c:strCache>
                <c:ptCount val="1"/>
                <c:pt idx="0">
                  <c:v>Нижня довірча границя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Аркуш2!$A$2:$A$16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Аркуш2!$D$2:$D$16</c:f>
              <c:numCache>
                <c:formatCode>General</c:formatCode>
                <c:ptCount val="15"/>
                <c:pt idx="11" formatCode="0.00">
                  <c:v>2308</c:v>
                </c:pt>
                <c:pt idx="12" formatCode="0.00">
                  <c:v>523.39630728831958</c:v>
                </c:pt>
                <c:pt idx="13" formatCode="0.00">
                  <c:v>637.86640880697882</c:v>
                </c:pt>
                <c:pt idx="14" formatCode="0.00">
                  <c:v>752.97248600151681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5F-456A-84D6-DFDD7E6BCEC7}"/>
            </c:ext>
          </c:extLst>
        </c:ser>
        <c:ser>
          <c:idx val="3"/>
          <c:order val="3"/>
          <c:tx>
            <c:strRef>
              <c:f>Аркуш2!$E$1</c:f>
              <c:strCache>
                <c:ptCount val="1"/>
                <c:pt idx="0">
                  <c:v>Верхня довірча границя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Аркуш2!$A$2:$A$16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Аркуш2!$E$2:$E$16</c:f>
              <c:numCache>
                <c:formatCode>General</c:formatCode>
                <c:ptCount val="15"/>
                <c:pt idx="11" formatCode="0.00">
                  <c:v>2308</c:v>
                </c:pt>
                <c:pt idx="12" formatCode="0.00">
                  <c:v>2423.5371659924604</c:v>
                </c:pt>
                <c:pt idx="13" formatCode="0.00">
                  <c:v>2596.9484939366348</c:v>
                </c:pt>
                <c:pt idx="14" formatCode="0.00">
                  <c:v>2769.7238462049295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5F-456A-84D6-DFDD7E6B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9680"/>
        <c:axId val="13310512"/>
      </c:lineChart>
      <c:catAx>
        <c:axId val="133096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310512"/>
        <c:crosses val="autoZero"/>
        <c:auto val="1"/>
        <c:lblAlgn val="ctr"/>
        <c:lblOffset val="100"/>
        <c:noMultiLvlLbl val="0"/>
      </c:catAx>
      <c:valAx>
        <c:axId val="1331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30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Аркуш1!$C$1:$C$16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17</c:v>
                </c:pt>
                <c:pt idx="5">
                  <c:v>31</c:v>
                </c:pt>
                <c:pt idx="6">
                  <c:v>60</c:v>
                </c:pt>
                <c:pt idx="7">
                  <c:v>122</c:v>
                </c:pt>
                <c:pt idx="8">
                  <c:v>268</c:v>
                </c:pt>
                <c:pt idx="9">
                  <c:v>561</c:v>
                </c:pt>
                <c:pt idx="10">
                  <c:v>1171</c:v>
                </c:pt>
                <c:pt idx="11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5-4599-B233-F4839322E5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905520"/>
        <c:axId val="16906768"/>
      </c:barChart>
      <c:catAx>
        <c:axId val="169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906768"/>
        <c:crosses val="autoZero"/>
        <c:auto val="1"/>
        <c:lblAlgn val="ctr"/>
        <c:lblOffset val="100"/>
        <c:noMultiLvlLbl val="0"/>
      </c:catAx>
      <c:valAx>
        <c:axId val="16906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</xdr:row>
      <xdr:rowOff>129540</xdr:rowOff>
    </xdr:from>
    <xdr:to>
      <xdr:col>17</xdr:col>
      <xdr:colOff>550545</xdr:colOff>
      <xdr:row>21</xdr:row>
      <xdr:rowOff>139065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F89009E3-B512-4B3C-BAE4-93511E462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1036320</xdr:colOff>
      <xdr:row>1</xdr:row>
      <xdr:rowOff>38100</xdr:rowOff>
    </xdr:from>
    <xdr:to>
      <xdr:col>6</xdr:col>
      <xdr:colOff>304800</xdr:colOff>
      <xdr:row>16</xdr:row>
      <xdr:rowOff>38100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0789946-07BE-4BDF-B672-058C03AC0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FFCE3-7AFB-4F0F-831C-EA0C05E7A024}" name="Таблиця1" displayName="Таблиця1" ref="A1:E16" totalsRowShown="0">
  <autoFilter ref="A1:E16" xr:uid="{DC1FFCE3-7AFB-4F0F-831C-EA0C05E7A024}"/>
  <tableColumns count="5">
    <tableColumn id="1" xr3:uid="{1B252451-B7A9-440F-8795-44396D07776D}" name="Часова шкала"/>
    <tableColumn id="2" xr3:uid="{CC03E5D0-3E09-4F53-B245-CFC210A445EC}" name="Значення"/>
    <tableColumn id="3" xr3:uid="{447518E3-87B1-4D3B-B54D-E07ABFF27DC6}" name="Передбачення"/>
    <tableColumn id="4" xr3:uid="{7350A25D-2EA5-4035-BEB1-279164D56334}" name="Нижня довірча границя" dataDxfId="1"/>
    <tableColumn id="5" xr3:uid="{32DA136A-F7BC-4E2F-BF5F-FFBD1FAB209E}" name="Верхня довірча границ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B1B5-523C-4CCC-BB8C-7927A5536904}">
  <dimension ref="A1:E16"/>
  <sheetViews>
    <sheetView tabSelected="1" workbookViewId="0"/>
  </sheetViews>
  <sheetFormatPr defaultRowHeight="14.4" x14ac:dyDescent="0.3"/>
  <cols>
    <col min="1" max="1" width="15" customWidth="1"/>
    <col min="2" max="2" width="11.21875" customWidth="1"/>
    <col min="3" max="3" width="15.6640625" customWidth="1"/>
    <col min="4" max="4" width="23.5546875" customWidth="1"/>
    <col min="5" max="5" width="2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</row>
    <row r="3" spans="1:5" x14ac:dyDescent="0.3">
      <c r="A3">
        <v>2</v>
      </c>
      <c r="B3">
        <v>2</v>
      </c>
    </row>
    <row r="4" spans="1:5" x14ac:dyDescent="0.3">
      <c r="A4">
        <v>3</v>
      </c>
      <c r="B4">
        <v>3</v>
      </c>
    </row>
    <row r="5" spans="1:5" x14ac:dyDescent="0.3">
      <c r="A5">
        <v>4</v>
      </c>
      <c r="B5">
        <v>7</v>
      </c>
    </row>
    <row r="6" spans="1:5" x14ac:dyDescent="0.3">
      <c r="A6">
        <v>5</v>
      </c>
      <c r="B6">
        <v>17</v>
      </c>
    </row>
    <row r="7" spans="1:5" x14ac:dyDescent="0.3">
      <c r="A7">
        <v>6</v>
      </c>
      <c r="B7">
        <v>31</v>
      </c>
    </row>
    <row r="8" spans="1:5" x14ac:dyDescent="0.3">
      <c r="A8">
        <v>7</v>
      </c>
      <c r="B8">
        <v>60</v>
      </c>
    </row>
    <row r="9" spans="1:5" x14ac:dyDescent="0.3">
      <c r="A9">
        <v>8</v>
      </c>
      <c r="B9">
        <v>122</v>
      </c>
    </row>
    <row r="10" spans="1:5" x14ac:dyDescent="0.3">
      <c r="A10">
        <v>9</v>
      </c>
      <c r="B10">
        <v>268</v>
      </c>
    </row>
    <row r="11" spans="1:5" x14ac:dyDescent="0.3">
      <c r="A11">
        <v>10</v>
      </c>
      <c r="B11">
        <v>561</v>
      </c>
    </row>
    <row r="12" spans="1:5" x14ac:dyDescent="0.3">
      <c r="A12">
        <v>11</v>
      </c>
      <c r="B12">
        <v>1171</v>
      </c>
    </row>
    <row r="13" spans="1:5" x14ac:dyDescent="0.3">
      <c r="A13">
        <v>12</v>
      </c>
      <c r="B13">
        <v>2308</v>
      </c>
      <c r="C13">
        <v>2308</v>
      </c>
      <c r="D13" s="1">
        <v>2308</v>
      </c>
      <c r="E13" s="1">
        <v>2308</v>
      </c>
    </row>
    <row r="14" spans="1:5" x14ac:dyDescent="0.3">
      <c r="A14">
        <v>13</v>
      </c>
      <c r="C14">
        <f>_xlfn.FORECAST.ETS(A14,$B$2:$B$13,$A$2:$A$13,1,1)</f>
        <v>1473.4667366403901</v>
      </c>
      <c r="D14" s="1">
        <f>C14-_xlfn.FORECAST.ETS.CONFINT(A14,$B$2:$B$13,$A$2:$A$13,0.95,1,1)</f>
        <v>523.39630728831958</v>
      </c>
      <c r="E14" s="1">
        <f>C14+_xlfn.FORECAST.ETS.CONFINT(A14,$B$2:$B$13,$A$2:$A$13,0.95,1,1)</f>
        <v>2423.5371659924604</v>
      </c>
    </row>
    <row r="15" spans="1:5" x14ac:dyDescent="0.3">
      <c r="A15">
        <v>14</v>
      </c>
      <c r="C15">
        <f>_xlfn.FORECAST.ETS(A15,$B$2:$B$13,$A$2:$A$13,1,1)</f>
        <v>1617.4074513718067</v>
      </c>
      <c r="D15" s="1">
        <f>C15-_xlfn.FORECAST.ETS.CONFINT(A15,$B$2:$B$13,$A$2:$A$13,0.95,1,1)</f>
        <v>637.86640880697882</v>
      </c>
      <c r="E15" s="1">
        <f>C15+_xlfn.FORECAST.ETS.CONFINT(A15,$B$2:$B$13,$A$2:$A$13,0.95,1,1)</f>
        <v>2596.9484939366348</v>
      </c>
    </row>
    <row r="16" spans="1:5" x14ac:dyDescent="0.3">
      <c r="A16">
        <v>15</v>
      </c>
      <c r="C16">
        <f>_xlfn.FORECAST.ETS(A16,$B$2:$B$13,$A$2:$A$13,1,1)</f>
        <v>1761.3481661032231</v>
      </c>
      <c r="D16" s="1">
        <f>C16-_xlfn.FORECAST.ETS.CONFINT(A16,$B$2:$B$13,$A$2:$A$13,0.95,1,1)</f>
        <v>752.97248600151681</v>
      </c>
      <c r="E16" s="1">
        <f>C16+_xlfn.FORECAST.ETS.CONFINT(A16,$B$2:$B$13,$A$2:$A$13,0.95,1,1)</f>
        <v>2769.7238462049295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3" sqref="A1:C16"/>
    </sheetView>
  </sheetViews>
  <sheetFormatPr defaultRowHeight="14.4" x14ac:dyDescent="0.3"/>
  <cols>
    <col min="2" max="6" width="25.77734375" customWidth="1"/>
  </cols>
  <sheetData>
    <row r="1" spans="1:3" x14ac:dyDescent="0.3">
      <c r="A1">
        <v>1</v>
      </c>
      <c r="B1">
        <v>1</v>
      </c>
      <c r="C1">
        <v>1</v>
      </c>
    </row>
    <row r="2" spans="1:3" x14ac:dyDescent="0.3">
      <c r="A2">
        <f>A1+1</f>
        <v>2</v>
      </c>
      <c r="B2">
        <v>1</v>
      </c>
      <c r="C2">
        <f>C1+B2</f>
        <v>2</v>
      </c>
    </row>
    <row r="3" spans="1:3" x14ac:dyDescent="0.3">
      <c r="A3">
        <f t="shared" ref="A3:A16" si="0">A2+1</f>
        <v>3</v>
      </c>
      <c r="B3">
        <v>1</v>
      </c>
      <c r="C3">
        <f t="shared" ref="C3:C12" si="1">C2+B3</f>
        <v>3</v>
      </c>
    </row>
    <row r="4" spans="1:3" x14ac:dyDescent="0.3">
      <c r="A4">
        <f t="shared" si="0"/>
        <v>4</v>
      </c>
      <c r="B4">
        <v>4</v>
      </c>
      <c r="C4">
        <f t="shared" si="1"/>
        <v>7</v>
      </c>
    </row>
    <row r="5" spans="1:3" x14ac:dyDescent="0.3">
      <c r="A5">
        <f t="shared" si="0"/>
        <v>5</v>
      </c>
      <c r="B5">
        <v>10</v>
      </c>
      <c r="C5">
        <f t="shared" si="1"/>
        <v>17</v>
      </c>
    </row>
    <row r="6" spans="1:3" x14ac:dyDescent="0.3">
      <c r="A6">
        <f t="shared" si="0"/>
        <v>6</v>
      </c>
      <c r="B6">
        <v>14</v>
      </c>
      <c r="C6">
        <f t="shared" si="1"/>
        <v>31</v>
      </c>
    </row>
    <row r="7" spans="1:3" x14ac:dyDescent="0.3">
      <c r="A7">
        <f t="shared" si="0"/>
        <v>7</v>
      </c>
      <c r="B7">
        <v>29</v>
      </c>
      <c r="C7">
        <f t="shared" si="1"/>
        <v>60</v>
      </c>
    </row>
    <row r="8" spans="1:3" x14ac:dyDescent="0.3">
      <c r="A8">
        <f t="shared" si="0"/>
        <v>8</v>
      </c>
      <c r="B8">
        <v>62</v>
      </c>
      <c r="C8">
        <f t="shared" si="1"/>
        <v>122</v>
      </c>
    </row>
    <row r="9" spans="1:3" x14ac:dyDescent="0.3">
      <c r="A9">
        <f t="shared" si="0"/>
        <v>9</v>
      </c>
      <c r="B9">
        <v>146</v>
      </c>
      <c r="C9">
        <f t="shared" si="1"/>
        <v>268</v>
      </c>
    </row>
    <row r="10" spans="1:3" x14ac:dyDescent="0.3">
      <c r="A10">
        <f t="shared" si="0"/>
        <v>10</v>
      </c>
      <c r="B10">
        <v>293</v>
      </c>
      <c r="C10">
        <f t="shared" si="1"/>
        <v>561</v>
      </c>
    </row>
    <row r="11" spans="1:3" x14ac:dyDescent="0.3">
      <c r="A11">
        <f t="shared" si="0"/>
        <v>11</v>
      </c>
      <c r="B11">
        <v>610</v>
      </c>
      <c r="C11">
        <f t="shared" si="1"/>
        <v>1171</v>
      </c>
    </row>
    <row r="12" spans="1:3" x14ac:dyDescent="0.3">
      <c r="A12">
        <f t="shared" si="0"/>
        <v>12</v>
      </c>
      <c r="B12">
        <v>1137</v>
      </c>
      <c r="C12">
        <f t="shared" si="1"/>
        <v>2308</v>
      </c>
    </row>
    <row r="13" spans="1:3" x14ac:dyDescent="0.3">
      <c r="A13">
        <f t="shared" si="0"/>
        <v>13</v>
      </c>
    </row>
    <row r="14" spans="1:3" x14ac:dyDescent="0.3">
      <c r="A14">
        <f t="shared" si="0"/>
        <v>14</v>
      </c>
    </row>
    <row r="15" spans="1:3" x14ac:dyDescent="0.3">
      <c r="A15">
        <f t="shared" si="0"/>
        <v>15</v>
      </c>
    </row>
    <row r="16" spans="1:3" x14ac:dyDescent="0.3">
      <c r="A16">
        <f t="shared" si="0"/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Аркуш2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</dc:creator>
  <cp:lastModifiedBy>Viktor Be</cp:lastModifiedBy>
  <dcterms:created xsi:type="dcterms:W3CDTF">2015-06-05T18:19:34Z</dcterms:created>
  <dcterms:modified xsi:type="dcterms:W3CDTF">2025-12-18T19:05:49Z</dcterms:modified>
</cp:coreProperties>
</file>